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mbasa\Documents\DS Projects\"/>
    </mc:Choice>
  </mc:AlternateContent>
  <xr:revisionPtr revIDLastSave="0" documentId="13_ncr:1_{6EAE843B-9239-4C44-919F-C6C2314BF139}" xr6:coauthVersionLast="47" xr6:coauthVersionMax="47" xr10:uidLastSave="{00000000-0000-0000-0000-000000000000}"/>
  <bookViews>
    <workbookView xWindow="-120" yWindow="-120" windowWidth="29040" windowHeight="15720" activeTab="1" xr2:uid="{922938C0-A313-488F-AA45-A2124DC61AE4}"/>
  </bookViews>
  <sheets>
    <sheet name="Sheet2" sheetId="2" r:id="rId1"/>
    <sheet name="Dashbaord" sheetId="4" r:id="rId2"/>
    <sheet name="Sheet1" sheetId="1" r:id="rId3"/>
  </sheets>
  <definedNames>
    <definedName name="Slicer_Attendance">#N/A</definedName>
    <definedName name="Slicer_Gender">#N/A</definedName>
    <definedName name="Slicer_Performance">#N/A</definedName>
    <definedName name="Slicer_Study_Hou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F4" i="4"/>
  <c r="B4" i="4"/>
  <c r="I3" i="1"/>
  <c r="I4" i="1"/>
  <c r="I5" i="1"/>
  <c r="J5" i="1" s="1"/>
  <c r="I6" i="1"/>
  <c r="J6" i="1" s="1"/>
  <c r="I7" i="1"/>
  <c r="J7" i="1" s="1"/>
  <c r="I8" i="1"/>
  <c r="J8" i="1" s="1"/>
  <c r="I9" i="1"/>
  <c r="I2" i="1"/>
  <c r="J2" i="1" s="1"/>
  <c r="J9" i="1"/>
  <c r="J3" i="1"/>
  <c r="J4" i="1"/>
</calcChain>
</file>

<file path=xl/sharedStrings.xml><?xml version="1.0" encoding="utf-8"?>
<sst xmlns="http://schemas.openxmlformats.org/spreadsheetml/2006/main" count="47" uniqueCount="32">
  <si>
    <t>Student_ID</t>
  </si>
  <si>
    <t>Name</t>
  </si>
  <si>
    <t>Gender</t>
  </si>
  <si>
    <t>Study_Hours</t>
  </si>
  <si>
    <t>Attendance</t>
  </si>
  <si>
    <t>Math</t>
  </si>
  <si>
    <t>Physics</t>
  </si>
  <si>
    <t>Programming</t>
  </si>
  <si>
    <t>M</t>
  </si>
  <si>
    <t>F</t>
  </si>
  <si>
    <t>Thabo</t>
  </si>
  <si>
    <t>Lerato</t>
  </si>
  <si>
    <t>Mbasa</t>
  </si>
  <si>
    <t>Naledi</t>
  </si>
  <si>
    <t>Kabelo</t>
  </si>
  <si>
    <t>Thati</t>
  </si>
  <si>
    <t>Avg_Score</t>
  </si>
  <si>
    <t>Performance</t>
  </si>
  <si>
    <t>Grand Total</t>
  </si>
  <si>
    <t>Average of Avg_Score</t>
  </si>
  <si>
    <t>Attedance vs Score</t>
  </si>
  <si>
    <t>Gender vs Score</t>
  </si>
  <si>
    <t>Study_Hours vs Score</t>
  </si>
  <si>
    <t>High</t>
  </si>
  <si>
    <t>Low</t>
  </si>
  <si>
    <t>Performance Vs Score</t>
  </si>
  <si>
    <t xml:space="preserve">Student Performance Dashboard </t>
  </si>
  <si>
    <t>Athi</t>
  </si>
  <si>
    <t>Total students</t>
  </si>
  <si>
    <t>Average Score</t>
  </si>
  <si>
    <t>Highperformerc</t>
  </si>
  <si>
    <r>
      <rPr>
        <sz val="24"/>
        <color theme="0"/>
        <rFont val="Aptos Narrow"/>
        <family val="2"/>
        <scheme val="minor"/>
      </rPr>
      <t>Student Performance Dashboard</t>
    </r>
    <r>
      <rPr>
        <sz val="24"/>
        <color theme="3"/>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</si>
</sst>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24"/>
      <color theme="3"/>
      <name val="Aptos Narrow"/>
      <family val="2"/>
      <scheme val="minor"/>
    </font>
    <font>
      <b/>
      <sz val="24"/>
      <color theme="1"/>
      <name val="Aptos Narrow"/>
      <family val="2"/>
      <scheme val="minor"/>
    </font>
    <font>
      <sz val="22"/>
      <color theme="1"/>
      <name val="Aptos Narrow"/>
      <family val="2"/>
      <scheme val="minor"/>
    </font>
    <font>
      <sz val="20"/>
      <color theme="1"/>
      <name val="Aptos Narrow"/>
      <family val="2"/>
      <scheme val="minor"/>
    </font>
    <font>
      <sz val="24"/>
      <color theme="0"/>
      <name val="Aptos Narrow"/>
      <family val="2"/>
      <scheme val="minor"/>
    </font>
  </fonts>
  <fills count="5">
    <fill>
      <patternFill patternType="none"/>
    </fill>
    <fill>
      <patternFill patternType="gray125"/>
    </fill>
    <fill>
      <patternFill patternType="solid">
        <fgColor rgb="FF18B6E8"/>
        <bgColor indexed="64"/>
      </patternFill>
    </fill>
    <fill>
      <patternFill patternType="solid">
        <fgColor rgb="FFB62FD1"/>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 fontId="0" fillId="0" borderId="0" xfId="0" applyNumberFormat="1"/>
    <xf numFmtId="2" fontId="0" fillId="0" borderId="0" xfId="0" applyNumberFormat="1"/>
    <xf numFmtId="0" fontId="1" fillId="4" borderId="0" xfId="0" applyFont="1" applyFill="1" applyAlignment="1">
      <alignment horizontal="center"/>
    </xf>
    <xf numFmtId="0" fontId="0" fillId="4" borderId="0" xfId="0" applyFill="1" applyAlignment="1">
      <alignment horizontal="center"/>
    </xf>
    <xf numFmtId="0" fontId="2" fillId="0" borderId="0" xfId="0" applyFont="1" applyAlignment="1">
      <alignment horizontal="center"/>
    </xf>
    <xf numFmtId="0" fontId="0" fillId="0" borderId="0" xfId="0" applyAlignment="1">
      <alignment horizontal="center"/>
    </xf>
    <xf numFmtId="0" fontId="4" fillId="3" borderId="0" xfId="0" applyFont="1" applyFill="1" applyAlignment="1">
      <alignment horizontal="center"/>
    </xf>
    <xf numFmtId="2" fontId="3" fillId="2"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colors>
    <mruColors>
      <color rgb="FFB62FD1"/>
      <color rgb="FF18B6E8"/>
      <color rgb="FF0066FF"/>
      <color rgb="FF99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1.xlsx]Sheet2!PivotTable1</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Score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Sheet2!$A$4:$A$6</c:f>
              <c:strCache>
                <c:ptCount val="2"/>
                <c:pt idx="0">
                  <c:v>F</c:v>
                </c:pt>
                <c:pt idx="1">
                  <c:v>M</c:v>
                </c:pt>
              </c:strCache>
            </c:strRef>
          </c:cat>
          <c:val>
            <c:numRef>
              <c:f>Sheet2!$B$4:$B$6</c:f>
              <c:numCache>
                <c:formatCode>0</c:formatCode>
                <c:ptCount val="2"/>
                <c:pt idx="0">
                  <c:v>77.666666666666671</c:v>
                </c:pt>
                <c:pt idx="1">
                  <c:v>64</c:v>
                </c:pt>
              </c:numCache>
            </c:numRef>
          </c:val>
          <c:extLst>
            <c:ext xmlns:c16="http://schemas.microsoft.com/office/drawing/2014/chart" uri="{C3380CC4-5D6E-409C-BE32-E72D297353CC}">
              <c16:uniqueId val="{00000000-8D6E-4677-B99A-5D23A9288F77}"/>
            </c:ext>
          </c:extLst>
        </c:ser>
        <c:dLbls>
          <c:showLegendKey val="0"/>
          <c:showVal val="0"/>
          <c:showCatName val="0"/>
          <c:showSerName val="0"/>
          <c:showPercent val="0"/>
          <c:showBubbleSize val="0"/>
        </c:dLbls>
        <c:gapWidth val="182"/>
        <c:axId val="1398079520"/>
        <c:axId val="1398064640"/>
      </c:barChart>
      <c:catAx>
        <c:axId val="139807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64640"/>
        <c:crosses val="autoZero"/>
        <c:auto val="1"/>
        <c:lblAlgn val="ctr"/>
        <c:lblOffset val="100"/>
        <c:noMultiLvlLbl val="0"/>
      </c:catAx>
      <c:valAx>
        <c:axId val="13980646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7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score by Attendance</a:t>
            </a:r>
          </a:p>
          <a:p>
            <a:pPr>
              <a:defRPr/>
            </a:pPr>
            <a:endParaRPr lang="en-US"/>
          </a:p>
        </c:rich>
      </c:tx>
      <c:layout>
        <c:manualLayout>
          <c:xMode val="edge"/>
          <c:yMode val="edge"/>
          <c:x val="0.24056401262507127"/>
          <c:y val="0.113732750803845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Sheet2!$F$3</c:f>
              <c:strCache>
                <c:ptCount val="1"/>
                <c:pt idx="0">
                  <c:v>Total</c:v>
                </c:pt>
              </c:strCache>
            </c:strRef>
          </c:tx>
          <c:spPr>
            <a:solidFill>
              <a:schemeClr val="accent1"/>
            </a:solidFill>
            <a:ln>
              <a:noFill/>
            </a:ln>
            <a:effectLst/>
          </c:spPr>
          <c:invertIfNegative val="0"/>
          <c:cat>
            <c:strRef>
              <c:f>Sheet2!$E$4:$E$10</c:f>
              <c:strCache>
                <c:ptCount val="6"/>
                <c:pt idx="0">
                  <c:v>60</c:v>
                </c:pt>
                <c:pt idx="1">
                  <c:v>70</c:v>
                </c:pt>
                <c:pt idx="2">
                  <c:v>80</c:v>
                </c:pt>
                <c:pt idx="3">
                  <c:v>85</c:v>
                </c:pt>
                <c:pt idx="4">
                  <c:v>92</c:v>
                </c:pt>
                <c:pt idx="5">
                  <c:v>95</c:v>
                </c:pt>
              </c:strCache>
            </c:strRef>
          </c:cat>
          <c:val>
            <c:numRef>
              <c:f>Sheet2!$F$4:$F$10</c:f>
              <c:numCache>
                <c:formatCode>0</c:formatCode>
                <c:ptCount val="6"/>
                <c:pt idx="0">
                  <c:v>51</c:v>
                </c:pt>
                <c:pt idx="1">
                  <c:v>53.5</c:v>
                </c:pt>
                <c:pt idx="2">
                  <c:v>70</c:v>
                </c:pt>
                <c:pt idx="3">
                  <c:v>79</c:v>
                </c:pt>
                <c:pt idx="4">
                  <c:v>88</c:v>
                </c:pt>
                <c:pt idx="5">
                  <c:v>94</c:v>
                </c:pt>
              </c:numCache>
            </c:numRef>
          </c:val>
          <c:extLst>
            <c:ext xmlns:c16="http://schemas.microsoft.com/office/drawing/2014/chart" uri="{C3380CC4-5D6E-409C-BE32-E72D297353CC}">
              <c16:uniqueId val="{00000000-3D96-40A5-B594-7FA7A5E93705}"/>
            </c:ext>
          </c:extLst>
        </c:ser>
        <c:dLbls>
          <c:showLegendKey val="0"/>
          <c:showVal val="0"/>
          <c:showCatName val="0"/>
          <c:showSerName val="0"/>
          <c:showPercent val="0"/>
          <c:showBubbleSize val="0"/>
        </c:dLbls>
        <c:gapWidth val="219"/>
        <c:overlap val="-27"/>
        <c:axId val="1398076160"/>
        <c:axId val="1398065120"/>
      </c:barChart>
      <c:catAx>
        <c:axId val="139807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65120"/>
        <c:crosses val="autoZero"/>
        <c:auto val="1"/>
        <c:lblAlgn val="ctr"/>
        <c:lblOffset val="100"/>
        <c:noMultiLvlLbl val="0"/>
      </c:catAx>
      <c:valAx>
        <c:axId val="139806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7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Study</a:t>
            </a:r>
            <a:r>
              <a:rPr lang="en-US" baseline="0"/>
              <a:t> Hours vs Score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Sheet2!$B$9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33-4916-9877-E4692230BB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33-4916-9877-E4692230BB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33-4916-9877-E4692230BB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33-4916-9877-E4692230BB6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33-4916-9877-E4692230BB6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433-4916-9877-E4692230BB60}"/>
              </c:ext>
            </c:extLst>
          </c:dPt>
          <c:cat>
            <c:strRef>
              <c:f>Sheet2!$A$10:$A$16</c:f>
              <c:strCache>
                <c:ptCount val="6"/>
                <c:pt idx="0">
                  <c:v>2</c:v>
                </c:pt>
                <c:pt idx="1">
                  <c:v>3</c:v>
                </c:pt>
                <c:pt idx="2">
                  <c:v>5</c:v>
                </c:pt>
                <c:pt idx="3">
                  <c:v>6</c:v>
                </c:pt>
                <c:pt idx="4">
                  <c:v>8</c:v>
                </c:pt>
                <c:pt idx="5">
                  <c:v>10</c:v>
                </c:pt>
              </c:strCache>
            </c:strRef>
          </c:cat>
          <c:val>
            <c:numRef>
              <c:f>Sheet2!$B$10:$B$16</c:f>
              <c:numCache>
                <c:formatCode>0</c:formatCode>
                <c:ptCount val="6"/>
                <c:pt idx="0">
                  <c:v>51</c:v>
                </c:pt>
                <c:pt idx="1">
                  <c:v>53.5</c:v>
                </c:pt>
                <c:pt idx="2">
                  <c:v>70</c:v>
                </c:pt>
                <c:pt idx="3">
                  <c:v>79</c:v>
                </c:pt>
                <c:pt idx="4">
                  <c:v>88</c:v>
                </c:pt>
                <c:pt idx="5">
                  <c:v>94</c:v>
                </c:pt>
              </c:numCache>
            </c:numRef>
          </c:val>
          <c:extLst>
            <c:ext xmlns:c16="http://schemas.microsoft.com/office/drawing/2014/chart" uri="{C3380CC4-5D6E-409C-BE32-E72D297353CC}">
              <c16:uniqueId val="{0000000C-7433-4916-9877-E4692230BB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1.xlsx]Sheet2!PivotTable6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VS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87-4DD1-ADD5-2736A39CAF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87-4DD1-ADD5-2736A39CAF34}"/>
              </c:ext>
            </c:extLst>
          </c:dPt>
          <c:cat>
            <c:strRef>
              <c:f>Sheet2!$E$14:$E$16</c:f>
              <c:strCache>
                <c:ptCount val="2"/>
                <c:pt idx="0">
                  <c:v>High</c:v>
                </c:pt>
                <c:pt idx="1">
                  <c:v>Low</c:v>
                </c:pt>
              </c:strCache>
            </c:strRef>
          </c:cat>
          <c:val>
            <c:numRef>
              <c:f>Sheet2!$F$14:$F$16</c:f>
              <c:numCache>
                <c:formatCode>0</c:formatCode>
                <c:ptCount val="2"/>
                <c:pt idx="0">
                  <c:v>87</c:v>
                </c:pt>
                <c:pt idx="1">
                  <c:v>57</c:v>
                </c:pt>
              </c:numCache>
            </c:numRef>
          </c:val>
          <c:extLst>
            <c:ext xmlns:c16="http://schemas.microsoft.com/office/drawing/2014/chart" uri="{C3380CC4-5D6E-409C-BE32-E72D297353CC}">
              <c16:uniqueId val="{00000004-5F87-4DD1-ADD5-2736A39CAF3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1.xlsx]Sheet2!PivotTable4</c:name>
    <c:fmtId val="7"/>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US"/>
              <a:t>Average Score Trend</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Sheet2!$B$9</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Sheet2!$A$10:$A$16</c:f>
              <c:strCache>
                <c:ptCount val="6"/>
                <c:pt idx="0">
                  <c:v>2</c:v>
                </c:pt>
                <c:pt idx="1">
                  <c:v>3</c:v>
                </c:pt>
                <c:pt idx="2">
                  <c:v>5</c:v>
                </c:pt>
                <c:pt idx="3">
                  <c:v>6</c:v>
                </c:pt>
                <c:pt idx="4">
                  <c:v>8</c:v>
                </c:pt>
                <c:pt idx="5">
                  <c:v>10</c:v>
                </c:pt>
              </c:strCache>
            </c:strRef>
          </c:cat>
          <c:val>
            <c:numRef>
              <c:f>Sheet2!$B$10:$B$16</c:f>
              <c:numCache>
                <c:formatCode>0</c:formatCode>
                <c:ptCount val="6"/>
                <c:pt idx="0">
                  <c:v>51</c:v>
                </c:pt>
                <c:pt idx="1">
                  <c:v>53.5</c:v>
                </c:pt>
                <c:pt idx="2">
                  <c:v>70</c:v>
                </c:pt>
                <c:pt idx="3">
                  <c:v>79</c:v>
                </c:pt>
                <c:pt idx="4">
                  <c:v>88</c:v>
                </c:pt>
                <c:pt idx="5">
                  <c:v>94</c:v>
                </c:pt>
              </c:numCache>
            </c:numRef>
          </c:val>
          <c:smooth val="0"/>
          <c:extLst>
            <c:ext xmlns:c16="http://schemas.microsoft.com/office/drawing/2014/chart" uri="{C3380CC4-5D6E-409C-BE32-E72D297353CC}">
              <c16:uniqueId val="{00000000-A7CE-4407-BC64-48262F024697}"/>
            </c:ext>
          </c:extLst>
        </c:ser>
        <c:dLbls>
          <c:dLblPos val="ctr"/>
          <c:showLegendKey val="0"/>
          <c:showVal val="1"/>
          <c:showCatName val="0"/>
          <c:showSerName val="0"/>
          <c:showPercent val="0"/>
          <c:showBubbleSize val="0"/>
        </c:dLbls>
        <c:marker val="1"/>
        <c:smooth val="0"/>
        <c:axId val="1504336176"/>
        <c:axId val="1504336656"/>
      </c:lineChart>
      <c:catAx>
        <c:axId val="15043361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04336656"/>
        <c:crosses val="autoZero"/>
        <c:auto val="1"/>
        <c:lblAlgn val="ctr"/>
        <c:lblOffset val="100"/>
        <c:noMultiLvlLbl val="0"/>
      </c:catAx>
      <c:valAx>
        <c:axId val="1504336656"/>
        <c:scaling>
          <c:orientation val="minMax"/>
        </c:scaling>
        <c:delete val="1"/>
        <c:axPos val="l"/>
        <c:numFmt formatCode="0" sourceLinked="1"/>
        <c:majorTickMark val="none"/>
        <c:minorTickMark val="none"/>
        <c:tickLblPos val="nextTo"/>
        <c:crossAx val="150433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76200</xdr:rowOff>
    </xdr:from>
    <xdr:to>
      <xdr:col>1</xdr:col>
      <xdr:colOff>619125</xdr:colOff>
      <xdr:row>33</xdr:row>
      <xdr:rowOff>76200</xdr:rowOff>
    </xdr:to>
    <mc:AlternateContent xmlns:mc="http://schemas.openxmlformats.org/markup-compatibility/2006" xmlns:a14="http://schemas.microsoft.com/office/drawing/2010/main">
      <mc:Choice Requires="a14">
        <xdr:graphicFrame macro="">
          <xdr:nvGraphicFramePr>
            <xdr:cNvPr id="9" name="Study_Hours">
              <a:extLst>
                <a:ext uri="{FF2B5EF4-FFF2-40B4-BE49-F238E27FC236}">
                  <a16:creationId xmlns:a16="http://schemas.microsoft.com/office/drawing/2014/main" id="{5D29DFA8-3CB2-AE7B-640E-A0953B54E76D}"/>
                </a:ext>
              </a:extLst>
            </xdr:cNvPr>
            <xdr:cNvGraphicFramePr/>
          </xdr:nvGraphicFramePr>
          <xdr:xfrm>
            <a:off x="0" y="0"/>
            <a:ext cx="0" cy="0"/>
          </xdr:xfrm>
          <a:graphic>
            <a:graphicData uri="http://schemas.microsoft.com/office/drawing/2010/slicer">
              <sle:slicer xmlns:sle="http://schemas.microsoft.com/office/drawing/2010/slicer" name="Study_Hours"/>
            </a:graphicData>
          </a:graphic>
        </xdr:graphicFrame>
      </mc:Choice>
      <mc:Fallback xmlns="">
        <xdr:sp macro="" textlink="">
          <xdr:nvSpPr>
            <xdr:cNvPr id="0" name=""/>
            <xdr:cNvSpPr>
              <a:spLocks noTextEdit="1"/>
            </xdr:cNvSpPr>
          </xdr:nvSpPr>
          <xdr:spPr>
            <a:xfrm>
              <a:off x="0" y="3695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714375</xdr:colOff>
      <xdr:row>19</xdr:row>
      <xdr:rowOff>57150</xdr:rowOff>
    </xdr:from>
    <xdr:to>
      <xdr:col>3</xdr:col>
      <xdr:colOff>581025</xdr:colOff>
      <xdr:row>33</xdr:row>
      <xdr:rowOff>57150</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AEE35531-8072-ADB3-FF43-AD7225648C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24050" y="3676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19</xdr:row>
      <xdr:rowOff>57150</xdr:rowOff>
    </xdr:from>
    <xdr:to>
      <xdr:col>5</xdr:col>
      <xdr:colOff>295275</xdr:colOff>
      <xdr:row>33</xdr:row>
      <xdr:rowOff>57150</xdr:rowOff>
    </xdr:to>
    <mc:AlternateContent xmlns:mc="http://schemas.openxmlformats.org/markup-compatibility/2006" xmlns:a14="http://schemas.microsoft.com/office/drawing/2010/main">
      <mc:Choice Requires="a14">
        <xdr:graphicFrame macro="">
          <xdr:nvGraphicFramePr>
            <xdr:cNvPr id="11" name="Attendance">
              <a:extLst>
                <a:ext uri="{FF2B5EF4-FFF2-40B4-BE49-F238E27FC236}">
                  <a16:creationId xmlns:a16="http://schemas.microsoft.com/office/drawing/2014/main" id="{BA7607E7-12E1-5069-17D9-B2829720CEED}"/>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mlns="">
        <xdr:sp macro="" textlink="">
          <xdr:nvSpPr>
            <xdr:cNvPr id="0" name=""/>
            <xdr:cNvSpPr>
              <a:spLocks noTextEdit="1"/>
            </xdr:cNvSpPr>
          </xdr:nvSpPr>
          <xdr:spPr>
            <a:xfrm>
              <a:off x="3800475" y="36766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381000</xdr:colOff>
      <xdr:row>19</xdr:row>
      <xdr:rowOff>38100</xdr:rowOff>
    </xdr:from>
    <xdr:to>
      <xdr:col>6</xdr:col>
      <xdr:colOff>857250</xdr:colOff>
      <xdr:row>33</xdr:row>
      <xdr:rowOff>38100</xdr:rowOff>
    </xdr:to>
    <mc:AlternateContent xmlns:mc="http://schemas.openxmlformats.org/markup-compatibility/2006" xmlns:a14="http://schemas.microsoft.com/office/drawing/2010/main">
      <mc:Choice Requires="a14">
        <xdr:graphicFrame macro="">
          <xdr:nvGraphicFramePr>
            <xdr:cNvPr id="12" name="Performance">
              <a:extLst>
                <a:ext uri="{FF2B5EF4-FFF2-40B4-BE49-F238E27FC236}">
                  <a16:creationId xmlns:a16="http://schemas.microsoft.com/office/drawing/2014/main" id="{E33A3E65-E237-DD16-1310-754B985BE002}"/>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5715000" y="36576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12370</xdr:colOff>
      <xdr:row>7</xdr:row>
      <xdr:rowOff>148443</xdr:rowOff>
    </xdr:from>
    <xdr:to>
      <xdr:col>21</xdr:col>
      <xdr:colOff>515181</xdr:colOff>
      <xdr:row>28</xdr:row>
      <xdr:rowOff>74222</xdr:rowOff>
    </xdr:to>
    <xdr:graphicFrame macro="">
      <xdr:nvGraphicFramePr>
        <xdr:cNvPr id="2" name="Chart 1">
          <a:extLst>
            <a:ext uri="{FF2B5EF4-FFF2-40B4-BE49-F238E27FC236}">
              <a16:creationId xmlns:a16="http://schemas.microsoft.com/office/drawing/2014/main" id="{8A536AA4-E833-4F59-8A27-9DD3E2604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42022</xdr:colOff>
      <xdr:row>7</xdr:row>
      <xdr:rowOff>154081</xdr:rowOff>
    </xdr:from>
    <xdr:to>
      <xdr:col>12</xdr:col>
      <xdr:colOff>0</xdr:colOff>
      <xdr:row>28</xdr:row>
      <xdr:rowOff>12700</xdr:rowOff>
    </xdr:to>
    <xdr:graphicFrame macro="">
      <xdr:nvGraphicFramePr>
        <xdr:cNvPr id="3" name="Chart 2">
          <a:extLst>
            <a:ext uri="{FF2B5EF4-FFF2-40B4-BE49-F238E27FC236}">
              <a16:creationId xmlns:a16="http://schemas.microsoft.com/office/drawing/2014/main" id="{19ADD94F-8485-4793-AAEB-B31A425D8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28</xdr:row>
      <xdr:rowOff>28014</xdr:rowOff>
    </xdr:from>
    <xdr:to>
      <xdr:col>4</xdr:col>
      <xdr:colOff>1022537</xdr:colOff>
      <xdr:row>44</xdr:row>
      <xdr:rowOff>168088</xdr:rowOff>
    </xdr:to>
    <xdr:graphicFrame macro="">
      <xdr:nvGraphicFramePr>
        <xdr:cNvPr id="4" name="Chart 3">
          <a:extLst>
            <a:ext uri="{FF2B5EF4-FFF2-40B4-BE49-F238E27FC236}">
              <a16:creationId xmlns:a16="http://schemas.microsoft.com/office/drawing/2014/main" id="{FA0364CC-6A15-4C8E-BC01-FBB286F4C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14009</xdr:colOff>
      <xdr:row>28</xdr:row>
      <xdr:rowOff>50800</xdr:rowOff>
    </xdr:from>
    <xdr:to>
      <xdr:col>11</xdr:col>
      <xdr:colOff>581397</xdr:colOff>
      <xdr:row>44</xdr:row>
      <xdr:rowOff>86591</xdr:rowOff>
    </xdr:to>
    <xdr:graphicFrame macro="">
      <xdr:nvGraphicFramePr>
        <xdr:cNvPr id="5" name="Chart 4">
          <a:extLst>
            <a:ext uri="{FF2B5EF4-FFF2-40B4-BE49-F238E27FC236}">
              <a16:creationId xmlns:a16="http://schemas.microsoft.com/office/drawing/2014/main" id="{7E3F42A1-15BC-4866-8201-15D901417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406213</xdr:colOff>
      <xdr:row>6</xdr:row>
      <xdr:rowOff>168088</xdr:rowOff>
    </xdr:from>
    <xdr:ext cx="184731" cy="264560"/>
    <xdr:sp macro="" textlink="">
      <xdr:nvSpPr>
        <xdr:cNvPr id="13" name="TextBox 12">
          <a:extLst>
            <a:ext uri="{FF2B5EF4-FFF2-40B4-BE49-F238E27FC236}">
              <a16:creationId xmlns:a16="http://schemas.microsoft.com/office/drawing/2014/main" id="{DE9C3522-EF5B-A4E1-FBDE-C80E9F9993D0}"/>
            </a:ext>
          </a:extLst>
        </xdr:cNvPr>
        <xdr:cNvSpPr txBox="1"/>
      </xdr:nvSpPr>
      <xdr:spPr>
        <a:xfrm>
          <a:off x="5953125" y="134470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1</xdr:colOff>
      <xdr:row>7</xdr:row>
      <xdr:rowOff>111125</xdr:rowOff>
    </xdr:from>
    <xdr:to>
      <xdr:col>5</xdr:col>
      <xdr:colOff>14008</xdr:colOff>
      <xdr:row>27</xdr:row>
      <xdr:rowOff>168088</xdr:rowOff>
    </xdr:to>
    <xdr:graphicFrame macro="">
      <xdr:nvGraphicFramePr>
        <xdr:cNvPr id="14" name="Chart 13">
          <a:extLst>
            <a:ext uri="{FF2B5EF4-FFF2-40B4-BE49-F238E27FC236}">
              <a16:creationId xmlns:a16="http://schemas.microsoft.com/office/drawing/2014/main" id="{6D147B3C-9224-46AB-A868-979E16259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11617</xdr:colOff>
      <xdr:row>1</xdr:row>
      <xdr:rowOff>174237</xdr:rowOff>
    </xdr:from>
    <xdr:ext cx="2090854" cy="778263"/>
    <xdr:sp macro="" textlink="">
      <xdr:nvSpPr>
        <xdr:cNvPr id="10" name="TextBox 9">
          <a:extLst>
            <a:ext uri="{FF2B5EF4-FFF2-40B4-BE49-F238E27FC236}">
              <a16:creationId xmlns:a16="http://schemas.microsoft.com/office/drawing/2014/main" id="{5BA58276-EDBE-2B56-4E82-C17045F74B14}"/>
            </a:ext>
          </a:extLst>
        </xdr:cNvPr>
        <xdr:cNvSpPr txBox="1"/>
      </xdr:nvSpPr>
      <xdr:spPr>
        <a:xfrm>
          <a:off x="615641" y="360091"/>
          <a:ext cx="2090854" cy="778263"/>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r>
            <a:rPr lang="en-US" sz="2400">
              <a:solidFill>
                <a:schemeClr val="tx1"/>
              </a:solidFill>
              <a:latin typeface="+mn-lt"/>
              <a:ea typeface="+mn-ea"/>
              <a:cs typeface="+mn-cs"/>
            </a:rPr>
            <a:t>Total Students</a:t>
          </a:r>
        </a:p>
      </xdr:txBody>
    </xdr:sp>
    <xdr:clientData/>
  </xdr:oneCellAnchor>
  <xdr:twoCellAnchor>
    <xdr:from>
      <xdr:col>0</xdr:col>
      <xdr:colOff>592409</xdr:colOff>
      <xdr:row>2</xdr:row>
      <xdr:rowOff>755031</xdr:rowOff>
    </xdr:from>
    <xdr:to>
      <xdr:col>3</xdr:col>
      <xdr:colOff>0</xdr:colOff>
      <xdr:row>4</xdr:row>
      <xdr:rowOff>11616</xdr:rowOff>
    </xdr:to>
    <xdr:sp macro="" textlink="">
      <xdr:nvSpPr>
        <xdr:cNvPr id="11" name="TextBox 10">
          <a:extLst>
            <a:ext uri="{FF2B5EF4-FFF2-40B4-BE49-F238E27FC236}">
              <a16:creationId xmlns:a16="http://schemas.microsoft.com/office/drawing/2014/main" id="{94E5D982-C9DD-1F25-393B-369C654E8DB6}"/>
            </a:ext>
          </a:extLst>
        </xdr:cNvPr>
        <xdr:cNvSpPr txBox="1"/>
      </xdr:nvSpPr>
      <xdr:spPr>
        <a:xfrm>
          <a:off x="592409" y="1126738"/>
          <a:ext cx="2102469" cy="418171"/>
        </a:xfrm>
        <a:prstGeom prst="rect">
          <a:avLst/>
        </a:prstGeom>
        <a:solidFill>
          <a:srgbClr val="00B050">
            <a:alpha val="4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xdr:col>
      <xdr:colOff>0</xdr:colOff>
      <xdr:row>1</xdr:row>
      <xdr:rowOff>151007</xdr:rowOff>
    </xdr:from>
    <xdr:to>
      <xdr:col>5</xdr:col>
      <xdr:colOff>23231</xdr:colOff>
      <xdr:row>3</xdr:row>
      <xdr:rowOff>11616</xdr:rowOff>
    </xdr:to>
    <xdr:sp macro="" textlink="">
      <xdr:nvSpPr>
        <xdr:cNvPr id="12" name="TextBox 11">
          <a:extLst>
            <a:ext uri="{FF2B5EF4-FFF2-40B4-BE49-F238E27FC236}">
              <a16:creationId xmlns:a16="http://schemas.microsoft.com/office/drawing/2014/main" id="{736A2C2C-F039-1EA0-354A-8F5895CE0E11}"/>
            </a:ext>
          </a:extLst>
        </xdr:cNvPr>
        <xdr:cNvSpPr txBox="1"/>
      </xdr:nvSpPr>
      <xdr:spPr>
        <a:xfrm>
          <a:off x="2694878" y="336861"/>
          <a:ext cx="2114085" cy="813109"/>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2400">
              <a:solidFill>
                <a:schemeClr val="bg2"/>
              </a:solidFill>
            </a:rPr>
            <a:t>Average</a:t>
          </a:r>
          <a:r>
            <a:rPr lang="en-US" sz="2400" baseline="0">
              <a:solidFill>
                <a:schemeClr val="bg2"/>
              </a:solidFill>
            </a:rPr>
            <a:t> Score</a:t>
          </a:r>
          <a:endParaRPr lang="en-US" sz="2400">
            <a:solidFill>
              <a:schemeClr val="bg2"/>
            </a:solidFill>
          </a:endParaRPr>
        </a:p>
      </xdr:txBody>
    </xdr:sp>
    <xdr:clientData/>
  </xdr:twoCellAnchor>
  <xdr:twoCellAnchor>
    <xdr:from>
      <xdr:col>5</xdr:col>
      <xdr:colOff>11616</xdr:colOff>
      <xdr:row>2</xdr:row>
      <xdr:rowOff>1</xdr:rowOff>
    </xdr:from>
    <xdr:to>
      <xdr:col>7</xdr:col>
      <xdr:colOff>11616</xdr:colOff>
      <xdr:row>3</xdr:row>
      <xdr:rowOff>0</xdr:rowOff>
    </xdr:to>
    <xdr:sp macro="" textlink="">
      <xdr:nvSpPr>
        <xdr:cNvPr id="15" name="TextBox 14">
          <a:extLst>
            <a:ext uri="{FF2B5EF4-FFF2-40B4-BE49-F238E27FC236}">
              <a16:creationId xmlns:a16="http://schemas.microsoft.com/office/drawing/2014/main" id="{BB8C5761-8A49-7CF2-D3AB-2987443E215B}"/>
            </a:ext>
          </a:extLst>
        </xdr:cNvPr>
        <xdr:cNvSpPr txBox="1"/>
      </xdr:nvSpPr>
      <xdr:spPr>
        <a:xfrm>
          <a:off x="4797348" y="371708"/>
          <a:ext cx="1649451" cy="76664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tx1"/>
              </a:solidFill>
            </a:rPr>
            <a:t>Top</a:t>
          </a:r>
          <a:r>
            <a:rPr lang="en-US" sz="2000" baseline="0">
              <a:solidFill>
                <a:schemeClr val="tx1"/>
              </a:solidFill>
            </a:rPr>
            <a:t> </a:t>
          </a:r>
          <a:r>
            <a:rPr lang="en-US" sz="2000">
              <a:solidFill>
                <a:schemeClr val="tx1"/>
              </a:solidFill>
            </a:rPr>
            <a:t>Performers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 Besong" refreshedDate="46096.718678935184" createdVersion="8" refreshedVersion="8" minRefreshableVersion="3" recordCount="7" xr:uid="{2ACDE53C-4B92-44DA-992E-1067B530D687}">
  <cacheSource type="worksheet">
    <worksheetSource ref="A1:J8" sheet="Sheet1"/>
  </cacheSource>
  <cacheFields count="10">
    <cacheField name="Student_ID" numFmtId="0">
      <sharedItems containsSemiMixedTypes="0" containsString="0" containsNumber="1" containsInteger="1" minValue="1" maxValue="7"/>
    </cacheField>
    <cacheField name="Name" numFmtId="0">
      <sharedItems/>
    </cacheField>
    <cacheField name="Gender" numFmtId="0">
      <sharedItems count="2">
        <s v="M"/>
        <s v="F"/>
      </sharedItems>
    </cacheField>
    <cacheField name="Study_Hours" numFmtId="0">
      <sharedItems containsSemiMixedTypes="0" containsString="0" containsNumber="1" containsInteger="1" minValue="2" maxValue="10" count="6">
        <n v="5"/>
        <n v="8"/>
        <n v="3"/>
        <n v="10"/>
        <n v="6"/>
        <n v="2"/>
      </sharedItems>
    </cacheField>
    <cacheField name="Attendance" numFmtId="0">
      <sharedItems containsSemiMixedTypes="0" containsString="0" containsNumber="1" containsInteger="1" minValue="60" maxValue="95" count="6">
        <n v="80"/>
        <n v="92"/>
        <n v="70"/>
        <n v="95"/>
        <n v="85"/>
        <n v="60"/>
      </sharedItems>
    </cacheField>
    <cacheField name="Math" numFmtId="0">
      <sharedItems containsSemiMixedTypes="0" containsString="0" containsNumber="1" containsInteger="1" minValue="30" maxValue="92"/>
    </cacheField>
    <cacheField name="Physics" numFmtId="0">
      <sharedItems containsSemiMixedTypes="0" containsString="0" containsNumber="1" containsInteger="1" minValue="50" maxValue="94"/>
    </cacheField>
    <cacheField name="Programming" numFmtId="0">
      <sharedItems containsSemiMixedTypes="0" containsString="0" containsNumber="1" containsInteger="1" minValue="58" maxValue="96"/>
    </cacheField>
    <cacheField name="Avg_Score" numFmtId="0">
      <sharedItems containsSemiMixedTypes="0" containsString="0" containsNumber="1" containsInteger="1" minValue="46" maxValue="94"/>
    </cacheField>
    <cacheField name="Performance" numFmtId="0">
      <sharedItems count="2">
        <s v="Low"/>
        <s v="High"/>
      </sharedItems>
    </cacheField>
  </cacheFields>
  <extLst>
    <ext xmlns:x14="http://schemas.microsoft.com/office/spreadsheetml/2009/9/main" uri="{725AE2AE-9491-48be-B2B4-4EB974FC3084}">
      <x14:pivotCacheDefinition pivotCacheId="18971708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
    <s v="Thabo"/>
    <x v="0"/>
    <x v="0"/>
    <x v="0"/>
    <n v="70"/>
    <n v="65"/>
    <n v="75"/>
    <n v="70"/>
    <x v="0"/>
  </r>
  <r>
    <n v="2"/>
    <s v="Lerato"/>
    <x v="1"/>
    <x v="1"/>
    <x v="1"/>
    <n v="88"/>
    <n v="90"/>
    <n v="85"/>
    <n v="88"/>
    <x v="1"/>
  </r>
  <r>
    <n v="3"/>
    <s v="Mbasa"/>
    <x v="0"/>
    <x v="2"/>
    <x v="2"/>
    <n v="60"/>
    <n v="58"/>
    <n v="65"/>
    <n v="61"/>
    <x v="0"/>
  </r>
  <r>
    <n v="4"/>
    <s v="Naledi"/>
    <x v="1"/>
    <x v="3"/>
    <x v="3"/>
    <n v="92"/>
    <n v="94"/>
    <n v="96"/>
    <n v="94"/>
    <x v="1"/>
  </r>
  <r>
    <n v="5"/>
    <s v="Kabelo"/>
    <x v="0"/>
    <x v="4"/>
    <x v="4"/>
    <n v="75"/>
    <n v="92"/>
    <n v="70"/>
    <n v="79"/>
    <x v="1"/>
  </r>
  <r>
    <n v="6"/>
    <s v="Thati"/>
    <x v="1"/>
    <x v="5"/>
    <x v="5"/>
    <n v="40"/>
    <n v="54"/>
    <n v="60"/>
    <n v="51"/>
    <x v="0"/>
  </r>
  <r>
    <n v="7"/>
    <s v="Mbasa"/>
    <x v="0"/>
    <x v="2"/>
    <x v="2"/>
    <n v="30"/>
    <n v="50"/>
    <n v="58"/>
    <n v="4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0CAABA-7D2F-400E-AAD4-75A190AF94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erformance Vs Score">
  <location ref="E13:F16" firstHeaderRow="1" firstDataRow="1" firstDataCol="1"/>
  <pivotFields count="1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s>
  <rowFields count="1">
    <field x="9"/>
  </rowFields>
  <rowItems count="3">
    <i>
      <x/>
    </i>
    <i>
      <x v="1"/>
    </i>
    <i t="grand">
      <x/>
    </i>
  </rowItems>
  <colItems count="1">
    <i/>
  </colItems>
  <dataFields count="1">
    <dataField name="Average of Avg_Score" fld="8" subtotal="average" baseField="9" baseItem="0" numFmtId="1"/>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6993FF-A537-421E-B97D-E9FF5044E3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udy_Hours vs Score">
  <location ref="A9:B16" firstHeaderRow="1" firstDataRow="1" firstDataCol="1"/>
  <pivotFields count="10">
    <pivotField showAll="0"/>
    <pivotField showAll="0"/>
    <pivotField showAll="0"/>
    <pivotField axis="axisRow" showAll="0">
      <items count="7">
        <item x="5"/>
        <item x="2"/>
        <item x="0"/>
        <item x="4"/>
        <item x="1"/>
        <item x="3"/>
        <item t="default"/>
      </items>
    </pivotField>
    <pivotField showAll="0"/>
    <pivotField showAll="0"/>
    <pivotField showAll="0"/>
    <pivotField showAll="0"/>
    <pivotField dataField="1" showAll="0"/>
    <pivotField showAll="0"/>
  </pivotFields>
  <rowFields count="1">
    <field x="3"/>
  </rowFields>
  <rowItems count="7">
    <i>
      <x/>
    </i>
    <i>
      <x v="1"/>
    </i>
    <i>
      <x v="2"/>
    </i>
    <i>
      <x v="3"/>
    </i>
    <i>
      <x v="4"/>
    </i>
    <i>
      <x v="5"/>
    </i>
    <i t="grand">
      <x/>
    </i>
  </rowItems>
  <colItems count="1">
    <i/>
  </colItems>
  <dataFields count="1">
    <dataField name="Average of Avg_Score" fld="8" subtotal="average" baseField="0" baseItem="1" numFmtId="1"/>
  </dataFields>
  <chartFormats count="10">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4"/>
          </reference>
        </references>
      </pivotArea>
    </chartFormat>
    <chartFormat chart="2" format="14">
      <pivotArea type="data" outline="0" fieldPosition="0">
        <references count="2">
          <reference field="4294967294" count="1" selected="0">
            <x v="0"/>
          </reference>
          <reference field="3" count="1" selected="0">
            <x v="5"/>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4759B4-7513-42BF-9FE6-B6682768B4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ttedance vs Score">
  <location ref="E3:F10" firstHeaderRow="1" firstDataRow="1" firstDataCol="1"/>
  <pivotFields count="10">
    <pivotField showAll="0"/>
    <pivotField showAll="0"/>
    <pivotField showAll="0">
      <items count="3">
        <item x="1"/>
        <item x="0"/>
        <item t="default"/>
      </items>
    </pivotField>
    <pivotField showAll="0"/>
    <pivotField axis="axisRow" showAll="0">
      <items count="7">
        <item x="5"/>
        <item x="2"/>
        <item x="0"/>
        <item x="4"/>
        <item x="1"/>
        <item x="3"/>
        <item t="default"/>
      </items>
    </pivotField>
    <pivotField showAll="0"/>
    <pivotField showAll="0"/>
    <pivotField showAll="0"/>
    <pivotField dataField="1" showAll="0"/>
    <pivotField showAll="0"/>
  </pivotFields>
  <rowFields count="1">
    <field x="4"/>
  </rowFields>
  <rowItems count="7">
    <i>
      <x/>
    </i>
    <i>
      <x v="1"/>
    </i>
    <i>
      <x v="2"/>
    </i>
    <i>
      <x v="3"/>
    </i>
    <i>
      <x v="4"/>
    </i>
    <i>
      <x v="5"/>
    </i>
    <i t="grand">
      <x/>
    </i>
  </rowItems>
  <colItems count="1">
    <i/>
  </colItems>
  <dataFields count="1">
    <dataField name="Average of Avg_Score" fld="8" subtotal="average" baseField="0" baseItem="1"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3677EF-FD94-48D9-81E0-E86D1504FD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rowHeaderCaption="Gender vs Score">
  <location ref="A3:B6" firstHeaderRow="1" firstDataRow="1" firstDataCol="1"/>
  <pivotFields count="1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s>
  <rowFields count="1">
    <field x="2"/>
  </rowFields>
  <rowItems count="3">
    <i>
      <x/>
    </i>
    <i>
      <x v="1"/>
    </i>
    <i t="grand">
      <x/>
    </i>
  </rowItems>
  <colItems count="1">
    <i/>
  </colItems>
  <dataFields count="1">
    <dataField name="Average of Avg_Score" fld="8" subtotal="average" baseField="2" baseItem="0" numFmtId="1"/>
  </dataFields>
  <chartFormats count="1">
    <chartFormat chart="6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Hours" xr10:uid="{384B99D0-B149-45AD-B543-09242DCC178A}" sourceName="Study_Hours">
  <pivotTables>
    <pivotTable tabId="2" name="PivotTable4"/>
  </pivotTables>
  <data>
    <tabular pivotCacheId="1897170825">
      <items count="6">
        <i x="5" s="1"/>
        <i x="2" s="1"/>
        <i x="0"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F42FABE-842F-40E4-B801-41EBDEB81199}" sourceName="Gender">
  <pivotTables>
    <pivotTable tabId="2" name="PivotTable1"/>
  </pivotTables>
  <data>
    <tabular pivotCacheId="18971708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CDE89C8E-6B46-49B8-9466-83C0F09AC5F9}" sourceName="Attendance">
  <pivotTables>
    <pivotTable tabId="2" name="PivotTable3"/>
  </pivotTables>
  <data>
    <tabular pivotCacheId="1897170825">
      <items count="6">
        <i x="5" s="1"/>
        <i x="2" s="1"/>
        <i x="0"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EFAE296E-AEA7-448E-8EDB-40B7AD7E5960}" sourceName="Performance">
  <pivotTables>
    <pivotTable tabId="2" name="PivotTable6"/>
  </pivotTables>
  <data>
    <tabular pivotCacheId="189717082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y_Hours" xr10:uid="{ADB6AE0C-E47B-4D71-940F-D85CF18A5E35}" cache="Slicer_Study_Hours" caption="Study_Hours" rowHeight="257175"/>
  <slicer name="Gender" xr10:uid="{CF147AA0-2B99-42C3-A9D1-90483C929F77}" cache="Slicer_Gender" caption="Gender" rowHeight="257175"/>
  <slicer name="Attendance" xr10:uid="{691A5EAB-E005-4C12-B5CA-A4D4398176EC}" cache="Slicer_Attendance" caption="Attendance" rowHeight="257175"/>
  <slicer name="Performance" xr10:uid="{FCFA7750-310B-4AB4-80EC-7A6B8DA4E339}" cache="Slicer_Performance" caption="Performanc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566A3-7E68-459D-A457-C1B642B505FB}">
  <dimension ref="A3:F16"/>
  <sheetViews>
    <sheetView workbookViewId="0">
      <selection activeCell="A9" sqref="A9"/>
    </sheetView>
  </sheetViews>
  <sheetFormatPr defaultRowHeight="15" x14ac:dyDescent="0.25"/>
  <cols>
    <col min="1" max="1" width="18.140625" bestFit="1" customWidth="1"/>
    <col min="2" max="2" width="20.28515625" bestFit="1" customWidth="1"/>
    <col min="5" max="5" width="23.28515625" bestFit="1" customWidth="1"/>
    <col min="6" max="7" width="20.28515625" bestFit="1" customWidth="1"/>
  </cols>
  <sheetData>
    <row r="3" spans="1:6" x14ac:dyDescent="0.25">
      <c r="A3" s="1" t="s">
        <v>21</v>
      </c>
      <c r="B3" t="s">
        <v>19</v>
      </c>
      <c r="E3" s="1" t="s">
        <v>20</v>
      </c>
      <c r="F3" t="s">
        <v>19</v>
      </c>
    </row>
    <row r="4" spans="1:6" x14ac:dyDescent="0.25">
      <c r="A4" s="2" t="s">
        <v>9</v>
      </c>
      <c r="B4" s="3">
        <v>77.666666666666671</v>
      </c>
      <c r="E4" s="2">
        <v>60</v>
      </c>
      <c r="F4" s="3">
        <v>51</v>
      </c>
    </row>
    <row r="5" spans="1:6" x14ac:dyDescent="0.25">
      <c r="A5" s="2" t="s">
        <v>8</v>
      </c>
      <c r="B5" s="3">
        <v>64</v>
      </c>
      <c r="E5" s="2">
        <v>70</v>
      </c>
      <c r="F5" s="3">
        <v>53.5</v>
      </c>
    </row>
    <row r="6" spans="1:6" x14ac:dyDescent="0.25">
      <c r="A6" s="2" t="s">
        <v>18</v>
      </c>
      <c r="B6" s="3">
        <v>69.857142857142861</v>
      </c>
      <c r="E6" s="2">
        <v>80</v>
      </c>
      <c r="F6" s="3">
        <v>70</v>
      </c>
    </row>
    <row r="7" spans="1:6" x14ac:dyDescent="0.25">
      <c r="E7" s="2">
        <v>85</v>
      </c>
      <c r="F7" s="3">
        <v>79</v>
      </c>
    </row>
    <row r="8" spans="1:6" x14ac:dyDescent="0.25">
      <c r="E8" s="2">
        <v>92</v>
      </c>
      <c r="F8" s="3">
        <v>88</v>
      </c>
    </row>
    <row r="9" spans="1:6" x14ac:dyDescent="0.25">
      <c r="A9" s="1" t="s">
        <v>22</v>
      </c>
      <c r="B9" t="s">
        <v>19</v>
      </c>
      <c r="E9" s="2">
        <v>95</v>
      </c>
      <c r="F9" s="3">
        <v>94</v>
      </c>
    </row>
    <row r="10" spans="1:6" x14ac:dyDescent="0.25">
      <c r="A10" s="2">
        <v>2</v>
      </c>
      <c r="B10" s="3">
        <v>51</v>
      </c>
      <c r="E10" s="2" t="s">
        <v>18</v>
      </c>
      <c r="F10" s="3">
        <v>69.857142857142861</v>
      </c>
    </row>
    <row r="11" spans="1:6" x14ac:dyDescent="0.25">
      <c r="A11" s="2">
        <v>3</v>
      </c>
      <c r="B11" s="3">
        <v>53.5</v>
      </c>
    </row>
    <row r="12" spans="1:6" x14ac:dyDescent="0.25">
      <c r="A12" s="2">
        <v>5</v>
      </c>
      <c r="B12" s="3">
        <v>70</v>
      </c>
    </row>
    <row r="13" spans="1:6" x14ac:dyDescent="0.25">
      <c r="A13" s="2">
        <v>6</v>
      </c>
      <c r="B13" s="3">
        <v>79</v>
      </c>
      <c r="E13" s="1" t="s">
        <v>25</v>
      </c>
      <c r="F13" t="s">
        <v>19</v>
      </c>
    </row>
    <row r="14" spans="1:6" x14ac:dyDescent="0.25">
      <c r="A14" s="2">
        <v>8</v>
      </c>
      <c r="B14" s="3">
        <v>88</v>
      </c>
      <c r="E14" s="2" t="s">
        <v>23</v>
      </c>
      <c r="F14" s="3">
        <v>87</v>
      </c>
    </row>
    <row r="15" spans="1:6" x14ac:dyDescent="0.25">
      <c r="A15" s="2">
        <v>10</v>
      </c>
      <c r="B15" s="3">
        <v>94</v>
      </c>
      <c r="E15" s="2" t="s">
        <v>24</v>
      </c>
      <c r="F15" s="3">
        <v>57</v>
      </c>
    </row>
    <row r="16" spans="1:6" x14ac:dyDescent="0.25">
      <c r="A16" s="2" t="s">
        <v>18</v>
      </c>
      <c r="B16" s="3">
        <v>69.857142857142861</v>
      </c>
      <c r="E16" s="2" t="s">
        <v>18</v>
      </c>
      <c r="F16" s="3">
        <v>69.857142857142861</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6DB4-EC3F-46E5-856B-BC98CE3C984A}">
  <dimension ref="A1:Z4"/>
  <sheetViews>
    <sheetView tabSelected="1" zoomScale="75" zoomScaleNormal="75" workbookViewId="0">
      <selection activeCell="Y12" sqref="Y12:Y13"/>
    </sheetView>
  </sheetViews>
  <sheetFormatPr defaultRowHeight="15" x14ac:dyDescent="0.25"/>
  <cols>
    <col min="2" max="6" width="15.7109375" customWidth="1"/>
  </cols>
  <sheetData>
    <row r="1" spans="1:26" x14ac:dyDescent="0.25">
      <c r="A1" s="5" t="s">
        <v>31</v>
      </c>
      <c r="B1" s="6"/>
      <c r="C1" s="6"/>
      <c r="D1" s="6"/>
      <c r="E1" s="6"/>
      <c r="F1" s="6"/>
      <c r="G1" s="6"/>
      <c r="H1" s="6"/>
      <c r="I1" s="6"/>
      <c r="J1" s="6"/>
      <c r="K1" s="6"/>
      <c r="L1" s="6"/>
      <c r="M1" s="6"/>
      <c r="N1" s="5" t="s">
        <v>26</v>
      </c>
      <c r="O1" s="6"/>
      <c r="P1" s="6"/>
      <c r="Q1" s="6"/>
      <c r="R1" s="6"/>
      <c r="S1" s="6"/>
      <c r="T1" s="6"/>
      <c r="U1" s="6"/>
      <c r="V1" s="6"/>
      <c r="W1" s="6"/>
      <c r="X1" s="6"/>
      <c r="Y1" s="6"/>
      <c r="Z1" s="6"/>
    </row>
    <row r="2" spans="1:26" x14ac:dyDescent="0.25">
      <c r="A2" s="6"/>
      <c r="B2" s="6"/>
      <c r="C2" s="6"/>
      <c r="D2" s="6"/>
      <c r="E2" s="6"/>
      <c r="F2" s="6"/>
      <c r="G2" s="6"/>
      <c r="H2" s="6"/>
      <c r="I2" s="6"/>
      <c r="J2" s="6"/>
      <c r="K2" s="6"/>
      <c r="L2" s="6"/>
      <c r="M2" s="6"/>
      <c r="N2" s="6"/>
      <c r="O2" s="6"/>
      <c r="P2" s="6"/>
      <c r="Q2" s="6"/>
      <c r="R2" s="6"/>
      <c r="S2" s="6"/>
      <c r="T2" s="6"/>
      <c r="U2" s="6"/>
      <c r="V2" s="6"/>
      <c r="W2" s="6"/>
      <c r="X2" s="6"/>
      <c r="Y2" s="6"/>
      <c r="Z2" s="6"/>
    </row>
    <row r="3" spans="1:26" ht="60" customHeight="1" x14ac:dyDescent="0.5">
      <c r="B3" s="7" t="s">
        <v>28</v>
      </c>
      <c r="C3" s="7"/>
      <c r="D3" s="8" t="s">
        <v>29</v>
      </c>
      <c r="E3" s="8"/>
      <c r="F3" s="8" t="s">
        <v>30</v>
      </c>
      <c r="G3" s="8"/>
    </row>
    <row r="4" spans="1:26" ht="31.5" x14ac:dyDescent="0.5">
      <c r="B4" s="7">
        <f>COUNTA(Sheet1!A2:A9)</f>
        <v>8</v>
      </c>
      <c r="C4" s="7"/>
      <c r="D4" s="10">
        <f>AVERAGE(Sheet1!I2:I9)</f>
        <v>70.166250000000005</v>
      </c>
      <c r="E4" s="10"/>
      <c r="F4" s="9">
        <f>COUNTIF(Sheet1!J2:J9,"High")</f>
        <v>3</v>
      </c>
      <c r="G4" s="9"/>
    </row>
  </sheetData>
  <mergeCells count="8">
    <mergeCell ref="A1:M2"/>
    <mergeCell ref="N1:Z2"/>
    <mergeCell ref="B3:C3"/>
    <mergeCell ref="B4:C4"/>
    <mergeCell ref="D3:E3"/>
    <mergeCell ref="F3:G3"/>
    <mergeCell ref="F4:G4"/>
    <mergeCell ref="D4:E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C145C-5496-4152-BC11-015EB1C48E4B}">
  <dimension ref="A1:J9"/>
  <sheetViews>
    <sheetView workbookViewId="0">
      <pane ySplit="1" topLeftCell="A5" activePane="bottomLeft" state="frozen"/>
      <selection pane="bottomLeft" activeCell="I13" sqref="I13"/>
    </sheetView>
  </sheetViews>
  <sheetFormatPr defaultRowHeight="15" x14ac:dyDescent="0.25"/>
  <sheetData>
    <row r="1" spans="1:10" x14ac:dyDescent="0.25">
      <c r="A1" t="s">
        <v>0</v>
      </c>
      <c r="B1" t="s">
        <v>1</v>
      </c>
      <c r="C1" t="s">
        <v>2</v>
      </c>
      <c r="D1" t="s">
        <v>3</v>
      </c>
      <c r="E1" t="s">
        <v>4</v>
      </c>
      <c r="F1" t="s">
        <v>5</v>
      </c>
      <c r="G1" t="s">
        <v>6</v>
      </c>
      <c r="H1" t="s">
        <v>7</v>
      </c>
      <c r="I1" s="4" t="s">
        <v>16</v>
      </c>
      <c r="J1" t="s">
        <v>17</v>
      </c>
    </row>
    <row r="2" spans="1:10" x14ac:dyDescent="0.25">
      <c r="A2">
        <v>1</v>
      </c>
      <c r="B2" t="s">
        <v>10</v>
      </c>
      <c r="C2" t="s">
        <v>8</v>
      </c>
      <c r="D2">
        <v>5</v>
      </c>
      <c r="E2" s="4">
        <v>80</v>
      </c>
      <c r="F2" s="4">
        <v>70</v>
      </c>
      <c r="G2" s="4">
        <v>65</v>
      </c>
      <c r="H2" s="4">
        <v>75</v>
      </c>
      <c r="I2" s="4">
        <f>ROUND(AVERAGE(F2:H2),2)</f>
        <v>70</v>
      </c>
      <c r="J2" t="str">
        <f>IF(I2&gt;=75,"High","Low")</f>
        <v>Low</v>
      </c>
    </row>
    <row r="3" spans="1:10" x14ac:dyDescent="0.25">
      <c r="A3">
        <v>2</v>
      </c>
      <c r="B3" t="s">
        <v>11</v>
      </c>
      <c r="C3" t="s">
        <v>9</v>
      </c>
      <c r="D3">
        <v>8</v>
      </c>
      <c r="E3" s="4">
        <v>92</v>
      </c>
      <c r="F3" s="4">
        <v>88</v>
      </c>
      <c r="G3" s="4">
        <v>90</v>
      </c>
      <c r="H3" s="4">
        <v>85</v>
      </c>
      <c r="I3" s="4">
        <f t="shared" ref="I3:I9" si="0">ROUND(AVERAGE(F3:H3),2)</f>
        <v>87.67</v>
      </c>
      <c r="J3" t="str">
        <f t="shared" ref="J3:J9" si="1">IF(I3&gt;=75,"High","Low")</f>
        <v>High</v>
      </c>
    </row>
    <row r="4" spans="1:10" x14ac:dyDescent="0.25">
      <c r="A4">
        <v>3</v>
      </c>
      <c r="B4" t="s">
        <v>12</v>
      </c>
      <c r="C4" t="s">
        <v>8</v>
      </c>
      <c r="D4">
        <v>3</v>
      </c>
      <c r="E4" s="4">
        <v>70</v>
      </c>
      <c r="F4" s="4">
        <v>60</v>
      </c>
      <c r="G4" s="4">
        <v>58</v>
      </c>
      <c r="H4" s="4">
        <v>65</v>
      </c>
      <c r="I4" s="4">
        <f t="shared" si="0"/>
        <v>61</v>
      </c>
      <c r="J4" t="str">
        <f t="shared" si="1"/>
        <v>Low</v>
      </c>
    </row>
    <row r="5" spans="1:10" x14ac:dyDescent="0.25">
      <c r="A5">
        <v>4</v>
      </c>
      <c r="B5" t="s">
        <v>13</v>
      </c>
      <c r="C5" t="s">
        <v>9</v>
      </c>
      <c r="D5">
        <v>10</v>
      </c>
      <c r="E5" s="4">
        <v>95</v>
      </c>
      <c r="F5" s="4">
        <v>92</v>
      </c>
      <c r="G5" s="4">
        <v>94</v>
      </c>
      <c r="H5" s="4">
        <v>96</v>
      </c>
      <c r="I5" s="4">
        <f t="shared" si="0"/>
        <v>94</v>
      </c>
      <c r="J5" t="str">
        <f t="shared" si="1"/>
        <v>High</v>
      </c>
    </row>
    <row r="6" spans="1:10" x14ac:dyDescent="0.25">
      <c r="A6">
        <v>5</v>
      </c>
      <c r="B6" t="s">
        <v>14</v>
      </c>
      <c r="C6" t="s">
        <v>8</v>
      </c>
      <c r="D6">
        <v>6</v>
      </c>
      <c r="E6" s="4">
        <v>85</v>
      </c>
      <c r="F6" s="4">
        <v>75</v>
      </c>
      <c r="G6" s="4">
        <v>92</v>
      </c>
      <c r="H6" s="4">
        <v>70</v>
      </c>
      <c r="I6" s="4">
        <f t="shared" si="0"/>
        <v>79</v>
      </c>
      <c r="J6" t="str">
        <f t="shared" si="1"/>
        <v>High</v>
      </c>
    </row>
    <row r="7" spans="1:10" x14ac:dyDescent="0.25">
      <c r="A7">
        <v>6</v>
      </c>
      <c r="B7" t="s">
        <v>15</v>
      </c>
      <c r="C7" t="s">
        <v>9</v>
      </c>
      <c r="D7">
        <v>2</v>
      </c>
      <c r="E7" s="4">
        <v>60</v>
      </c>
      <c r="F7" s="4">
        <v>40</v>
      </c>
      <c r="G7" s="4">
        <v>54</v>
      </c>
      <c r="H7" s="4">
        <v>60</v>
      </c>
      <c r="I7" s="4">
        <f t="shared" si="0"/>
        <v>51.33</v>
      </c>
      <c r="J7" t="str">
        <f t="shared" si="1"/>
        <v>Low</v>
      </c>
    </row>
    <row r="8" spans="1:10" x14ac:dyDescent="0.25">
      <c r="A8">
        <v>7</v>
      </c>
      <c r="B8" t="s">
        <v>12</v>
      </c>
      <c r="C8" t="s">
        <v>8</v>
      </c>
      <c r="D8">
        <v>3</v>
      </c>
      <c r="E8" s="4">
        <v>70</v>
      </c>
      <c r="F8" s="4">
        <v>30</v>
      </c>
      <c r="G8" s="4">
        <v>50</v>
      </c>
      <c r="H8" s="4">
        <v>58</v>
      </c>
      <c r="I8" s="4">
        <f t="shared" si="0"/>
        <v>46</v>
      </c>
      <c r="J8" t="str">
        <f t="shared" si="1"/>
        <v>Low</v>
      </c>
    </row>
    <row r="9" spans="1:10" x14ac:dyDescent="0.25">
      <c r="A9">
        <v>8</v>
      </c>
      <c r="B9" t="s">
        <v>27</v>
      </c>
      <c r="C9" t="s">
        <v>9</v>
      </c>
      <c r="D9">
        <v>8</v>
      </c>
      <c r="E9" s="4">
        <v>60</v>
      </c>
      <c r="F9" s="4">
        <v>68</v>
      </c>
      <c r="G9" s="4">
        <v>69</v>
      </c>
      <c r="H9" s="4">
        <v>80</v>
      </c>
      <c r="I9" s="4">
        <f t="shared" si="0"/>
        <v>72.33</v>
      </c>
      <c r="J9" t="str">
        <f t="shared" si="1"/>
        <v>Low</v>
      </c>
    </row>
  </sheetData>
  <dataValidations count="1">
    <dataValidation type="list" allowBlank="1" showInputMessage="1" showErrorMessage="1" sqref="J1:J9" xr:uid="{87353620-1B9B-43C9-A330-C48049C070E9}">
      <formula1>"""High.Low"""</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Dashbaord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Mbasa Besong</dc:creator>
  <cp:lastModifiedBy>Mbasa Besong</cp:lastModifiedBy>
  <dcterms:created xsi:type="dcterms:W3CDTF">2026-03-15T14:51:05Z</dcterms:created>
  <dcterms:modified xsi:type="dcterms:W3CDTF">2026-03-24T18:53:48Z</dcterms:modified>
</cp:coreProperties>
</file>